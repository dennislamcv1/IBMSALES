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ROI Calcul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<sst xmlns="http://schemas.openxmlformats.org/spreadsheetml/2006/main" count="30" uniqueCount="29">
  <si>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Final Project ROI Starter: Meridian Regional Bank</t>
  </si>
  <si>
    <t xml:space="preserve">Blue = given figures from the case brief. Yellow = your assumptions to enter. Black = calculated.</t>
  </si>
  <si>
    <t xml:space="preserve">Given figures (from case brief)</t>
  </si>
  <si>
    <t xml:space="preserve">Value</t>
  </si>
  <si>
    <t xml:space="preserve">Annual legacy core maintenance</t>
  </si>
  <si>
    <t xml:space="preserve">Annual compliance reporting cost</t>
  </si>
  <si>
    <t xml:space="preserve">Platform annual subscription</t>
  </si>
  <si>
    <t xml:space="preserve">One-time implementation</t>
  </si>
  <si>
    <t xml:space="preserve">Your assumptions (enter your estimates)</t>
  </si>
  <si>
    <t xml:space="preserve">Maintenance reduction (%)</t>
  </si>
  <si>
    <t xml:space="preserve">Compliance effort reduction (%)</t>
  </si>
  <si>
    <t xml:space="preserve">Annual revenue gain from faster launches</t>
  </si>
  <si>
    <t xml:space="preserve">Analysis horizon (years)</t>
  </si>
  <si>
    <t xml:space="preserve">ROI Calculation</t>
  </si>
  <si>
    <t xml:space="preserve">All figures are calculated from the Inputs tab.</t>
  </si>
  <si>
    <t xml:space="preserve">Metric</t>
  </si>
  <si>
    <t xml:space="preserve">Result</t>
  </si>
  <si>
    <t xml:space="preserve">Annual maintenance savings</t>
  </si>
  <si>
    <t xml:space="preserve">Annual compliance savings</t>
  </si>
  <si>
    <t xml:space="preserve">Annual revenue gain</t>
  </si>
  <si>
    <t xml:space="preserve">Total annual benefit</t>
  </si>
  <si>
    <t xml:space="preserve">Annual platform cost</t>
  </si>
  <si>
    <t xml:space="preserve">Net annual benefit</t>
  </si>
  <si>
    <t xml:space="preserve">Payback period (years)</t>
  </si>
  <si>
    <t xml:space="preserve">First-year net benefit</t>
  </si>
  <si>
    <t xml:space="preserve">Multi-year total benefit</t>
  </si>
  <si>
    <t xml:space="preserve">Multi-year total cost (TCO)</t>
  </si>
  <si>
    <t xml:space="preserve">Multi-year net benefit</t>
  </si>
  <si>
    <t xml:space="preserve">Multi-year ROI (%)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</si>
</sst>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"/>
    <numFmt numFmtId="167" formatCode="0"/>
    <numFmt numFmtId="168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ptos"/>
      <family val="0"/>
      <charset val="1"/>
    </font>
    <font>
      <i val="true"/>
      <sz val="10"/>
      <name val="Aptos"/>
      <family val="0"/>
      <charset val="1"/>
    </font>
    <font>
      <b val="true"/>
      <sz val="11"/>
      <color rgb="FFFFFFFF"/>
      <name val="Aptos"/>
      <family val="0"/>
      <charset val="1"/>
    </font>
    <font>
      <b val="true"/>
      <sz val="11"/>
      <name val="Aptos"/>
      <family val="0"/>
      <charset val="1"/>
    </font>
    <font>
      <sz val="11"/>
      <color rgb="FF0000FF"/>
      <name val="Aptos"/>
      <family val="0"/>
      <charset val="1"/>
    </font>
    <font>
      <sz val="11"/>
      <color rgb="FF008000"/>
      <name val="Aptos"/>
      <family val="0"/>
      <charset val="1"/>
    </font>
    <font>
      <sz val="11"/>
      <color rgb="FF000000"/>
      <name val="Apto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EAF1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v>2400000</v>
      </c>
    </row>
    <row r="6" customFormat="false" ht="15" hidden="false" customHeight="false" outlineLevel="0" collapsed="false">
      <c r="A6" s="4" t="s">
        <v>5</v>
      </c>
      <c r="B6" s="5" t="n">
        <v>1100000</v>
      </c>
    </row>
    <row r="7" customFormat="false" ht="15" hidden="false" customHeight="false" outlineLevel="0" collapsed="false">
      <c r="A7" s="4" t="s">
        <v>6</v>
      </c>
      <c r="B7" s="5" t="n">
        <v>1600000</v>
      </c>
    </row>
    <row r="8" customFormat="false" ht="15" hidden="false" customHeight="false" outlineLevel="0" collapsed="false">
      <c r="A8" s="4" t="s">
        <v>7</v>
      </c>
      <c r="B8" s="5" t="n">
        <v>900000</v>
      </c>
    </row>
    <row r="10" customFormat="false" ht="15" hidden="false" customHeight="false" outlineLevel="0" collapsed="false">
      <c r="A10" s="3" t="s">
        <v>8</v>
      </c>
      <c r="B10" s="3" t="s">
        <v>3</v>
      </c>
    </row>
    <row r="11" customFormat="false" ht="15" hidden="false" customHeight="false" outlineLevel="0" collapsed="false">
      <c r="A11" s="4" t="s">
        <v>9</v>
      </c>
      <c r="B11" s="6" t="n">
        <v>0.4</v>
      </c>
    </row>
    <row r="12" customFormat="false" ht="15" hidden="false" customHeight="false" outlineLevel="0" collapsed="false">
      <c r="A12" s="4" t="s">
        <v>10</v>
      </c>
      <c r="B12" s="6" t="n">
        <v>0.5</v>
      </c>
    </row>
    <row r="13" customFormat="false" ht="15" hidden="false" customHeight="false" outlineLevel="0" collapsed="false">
      <c r="A13" s="4" t="s">
        <v>11</v>
      </c>
      <c r="B13" s="7" t="n">
        <v>750000</v>
      </c>
    </row>
    <row r="14" customFormat="false" ht="15" hidden="false" customHeight="false" outlineLevel="0" collapsed="false">
      <c r="A14" s="4" t="s">
        <v>12</v>
      </c>
      <c r="B14" s="8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13</v>
      </c>
    </row>
    <row r="2" customFormat="false" ht="15" hidden="false" customHeight="false" outlineLevel="0" collapsed="false">
      <c r="A2" s="2" t="s">
        <v>14</v>
      </c>
    </row>
    <row r="4" customFormat="false" ht="15" hidden="false" customHeight="false" outlineLevel="0" collapsed="false">
      <c r="A4" s="9" t="s">
        <v>15</v>
      </c>
      <c r="B4" s="9" t="s">
        <v>16</v>
      </c>
    </row>
    <row r="5" customFormat="false" ht="15" hidden="false" customHeight="false" outlineLevel="0" collapsed="false">
      <c r="A5" s="4" t="s">
        <v>17</v>
      </c>
      <c r="B5" s="10" t="n">
        <f aca="false">Inputs!B5*Inputs!B11</f>
        <v>960000</v>
      </c>
    </row>
    <row r="6" customFormat="false" ht="15" hidden="false" customHeight="false" outlineLevel="0" collapsed="false">
      <c r="A6" s="11" t="s">
        <v>18</v>
      </c>
      <c r="B6" s="12" t="n">
        <f aca="false">Inputs!B6*Inputs!B12</f>
        <v>550000</v>
      </c>
    </row>
    <row r="7" customFormat="false" ht="15" hidden="false" customHeight="false" outlineLevel="0" collapsed="false">
      <c r="A7" s="4" t="s">
        <v>19</v>
      </c>
      <c r="B7" s="10" t="n">
        <f aca="false">Inputs!B13</f>
        <v>750000</v>
      </c>
    </row>
    <row r="8" customFormat="false" ht="15" hidden="false" customHeight="false" outlineLevel="0" collapsed="false">
      <c r="A8" s="11" t="s">
        <v>20</v>
      </c>
      <c r="B8" s="12" t="n">
        <f aca="false">B5+B6+B7</f>
        <v>2260000</v>
      </c>
    </row>
    <row r="9" customFormat="false" ht="15" hidden="false" customHeight="false" outlineLevel="0" collapsed="false">
      <c r="A9" s="4" t="s">
        <v>21</v>
      </c>
      <c r="B9" s="10" t="n">
        <f aca="false">Inputs!B7</f>
        <v>1600000</v>
      </c>
    </row>
    <row r="10" customFormat="false" ht="15" hidden="false" customHeight="false" outlineLevel="0" collapsed="false">
      <c r="A10" s="11" t="s">
        <v>22</v>
      </c>
      <c r="B10" s="12" t="n">
        <f aca="false">B8-B9</f>
        <v>660000</v>
      </c>
    </row>
    <row r="11" customFormat="false" ht="15" hidden="false" customHeight="false" outlineLevel="0" collapsed="false">
      <c r="A11" s="4" t="s">
        <v>23</v>
      </c>
      <c r="B11" s="13" t="n">
        <f aca="false">(Inputs!B8+Inputs!B7)/B8</f>
        <v>1.10619469026549</v>
      </c>
    </row>
    <row r="12" customFormat="false" ht="15" hidden="false" customHeight="false" outlineLevel="0" collapsed="false">
      <c r="A12" s="11" t="s">
        <v>24</v>
      </c>
      <c r="B12" s="12" t="n">
        <f aca="false">B10-Inputs!B8</f>
        <v>-240000</v>
      </c>
    </row>
    <row r="13" customFormat="false" ht="15" hidden="false" customHeight="false" outlineLevel="0" collapsed="false">
      <c r="A13" s="4" t="s">
        <v>25</v>
      </c>
      <c r="B13" s="10" t="n">
        <f aca="false">B8*Inputs!B14</f>
        <v>6780000</v>
      </c>
    </row>
    <row r="14" customFormat="false" ht="15" hidden="false" customHeight="false" outlineLevel="0" collapsed="false">
      <c r="A14" s="11" t="s">
        <v>26</v>
      </c>
      <c r="B14" s="12" t="n">
        <f aca="false">Inputs!B8+Inputs!B7*Inputs!B14</f>
        <v>5700000</v>
      </c>
    </row>
    <row r="15" customFormat="false" ht="15" hidden="false" customHeight="false" outlineLevel="0" collapsed="false">
      <c r="A15" s="4" t="s">
        <v>27</v>
      </c>
      <c r="B15" s="10" t="n">
        <f aca="false">B13-B14</f>
        <v>1080000</v>
      </c>
    </row>
    <row r="16" customFormat="false" ht="15" hidden="false" customHeight="false" outlineLevel="0" collapsed="false">
      <c r="A16" s="11" t="s">
        <v>28</v>
      </c>
      <c r="B16" s="14" t="n">
        <f aca="false">B15/B14</f>
        <v>0.189473684210526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0125176A45754FB0996C1C75086554" ma:contentTypeVersion="19" ma:contentTypeDescription="Create a new document." ma:contentTypeScope="" ma:versionID="5336a7aad88d4fa118599994f44cfb52">
  <xsd:schema xmlns:xsd="http://www.w3.org/2001/XMLSchema" xmlns:xs="http://www.w3.org/2001/XMLSchema" xmlns:p="http://schemas.microsoft.com/office/2006/metadata/properties" xmlns:ns2="a3712f75-7b99-4ea1-a115-5410be941191" xmlns:ns3="3aa8797b-a9f0-456b-baa3-5d499e8d169d" targetNamespace="http://schemas.microsoft.com/office/2006/metadata/properties" ma:root="true" ma:fieldsID="05c60756e4c1ab69b3f0575f3a38b93a" ns2:_="" ns3:_="">
    <xsd:import namespace="a3712f75-7b99-4ea1-a115-5410be941191"/>
    <xsd:import namespace="3aa8797b-a9f0-456b-baa3-5d499e8d16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712f75-7b99-4ea1-a115-5410be9411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1ea842c-d6a4-43e2-8351-d20fabe133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a8797b-a9f0-456b-baa3-5d499e8d169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6bf7372-b96f-4d8f-ba07-70cf5bfdd859}" ma:internalName="TaxCatchAll" ma:showField="CatchAllData" ma:web="3aa8797b-a9f0-456b-baa3-5d499e8d16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aa8797b-a9f0-456b-baa3-5d499e8d169d" xsi:nil="true"/>
    <lcf76f155ced4ddcb4097134ff3c332f xmlns="a3712f75-7b99-4ea1-a115-5410be94119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B81886-11EA-49C4-950F-743CB6460280}"/>
</file>

<file path=customXml/itemProps2.xml><?xml version="1.0" encoding="utf-8"?>
<ds:datastoreItem xmlns:ds="http://schemas.openxmlformats.org/officeDocument/2006/customXml" ds:itemID="{53DBB963-E11C-4176-AC56-72E816E90709}"/>
</file>

<file path=customXml/itemProps3.xml><?xml version="1.0" encoding="utf-8"?>
<ds:datastoreItem xmlns:ds="http://schemas.openxmlformats.org/officeDocument/2006/customXml" ds:itemID="{F9F259AE-757B-4E10-ADC0-B96F290BDBC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2026-06-18T11:27:01Z</dcterms:created>
  <dcterms:modified xsi:type="dcterms:W3CDTF">2026-06-18T11:27:01Z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0x010100BE0125176A45754FB0996C1C75086554</vt:lpwstr>
  </property>
</Properties>
</file>